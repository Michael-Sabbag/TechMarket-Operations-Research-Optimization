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bba\OneDrive\Desktop\מייקי עבודות של כל הקורסים\הכשרה\"/>
    </mc:Choice>
  </mc:AlternateContent>
  <xr:revisionPtr revIDLastSave="0" documentId="13_ncr:1_{57CDA748-89A3-4986-B0E7-9CC28EAA5475}" xr6:coauthVersionLast="47" xr6:coauthVersionMax="47" xr10:uidLastSave="{00000000-0000-0000-0000-000000000000}"/>
  <bookViews>
    <workbookView xWindow="-108" yWindow="-108" windowWidth="23256" windowHeight="13896" xr2:uid="{132B301E-1BA5-41E8-8E83-7C9FA9029199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6" i="1" l="1"/>
  <c r="B12" i="1"/>
  <c r="N23" i="1"/>
  <c r="N19" i="1"/>
  <c r="C15" i="1"/>
  <c r="D15" i="1"/>
  <c r="E15" i="1"/>
  <c r="F15" i="1"/>
  <c r="G15" i="1"/>
  <c r="H15" i="1"/>
  <c r="I15" i="1"/>
  <c r="J15" i="1"/>
  <c r="K15" i="1"/>
  <c r="L15" i="1"/>
  <c r="M15" i="1"/>
  <c r="B15" i="1"/>
  <c r="D14" i="1"/>
  <c r="F14" i="1"/>
  <c r="H14" i="1"/>
  <c r="J14" i="1"/>
  <c r="L14" i="1"/>
  <c r="B14" i="1"/>
  <c r="C13" i="1"/>
  <c r="D13" i="1"/>
  <c r="E13" i="1"/>
  <c r="F13" i="1"/>
  <c r="G13" i="1"/>
  <c r="H13" i="1"/>
  <c r="I13" i="1"/>
  <c r="J13" i="1"/>
  <c r="K13" i="1"/>
  <c r="L13" i="1"/>
  <c r="M13" i="1"/>
  <c r="B13" i="1"/>
  <c r="F12" i="1"/>
  <c r="G12" i="1"/>
  <c r="H12" i="1"/>
  <c r="I12" i="1"/>
  <c r="J12" i="1"/>
  <c r="K12" i="1"/>
  <c r="L12" i="1"/>
  <c r="E12" i="1"/>
  <c r="C12" i="1"/>
  <c r="D12" i="1"/>
  <c r="M12" i="1"/>
  <c r="E11" i="1"/>
  <c r="D11" i="1"/>
  <c r="C11" i="1"/>
  <c r="F11" i="1"/>
  <c r="G11" i="1"/>
  <c r="H11" i="1"/>
  <c r="I11" i="1"/>
  <c r="J11" i="1"/>
  <c r="K11" i="1"/>
  <c r="L11" i="1"/>
  <c r="M11" i="1"/>
  <c r="B11" i="1"/>
</calcChain>
</file>

<file path=xl/sharedStrings.xml><?xml version="1.0" encoding="utf-8"?>
<sst xmlns="http://schemas.openxmlformats.org/spreadsheetml/2006/main" count="31" uniqueCount="31">
  <si>
    <t>R(x,y,z) = 30x + 18y + 10000z</t>
  </si>
  <si>
    <t>0&lt;=x&lt;=4</t>
  </si>
  <si>
    <t>0&lt;=y&lt;=4</t>
  </si>
  <si>
    <t>0&lt;=z&lt;=3</t>
  </si>
  <si>
    <t>x</t>
  </si>
  <si>
    <t>y</t>
  </si>
  <si>
    <t>z</t>
  </si>
  <si>
    <t>ינואר</t>
  </si>
  <si>
    <t>פברואר</t>
  </si>
  <si>
    <t>מרץ</t>
  </si>
  <si>
    <t>אפריל</t>
  </si>
  <si>
    <t>מאי</t>
  </si>
  <si>
    <t>יוני</t>
  </si>
  <si>
    <t>יולי</t>
  </si>
  <si>
    <t>אוגוסט</t>
  </si>
  <si>
    <t>ספטמבר</t>
  </si>
  <si>
    <t>אוקטובר</t>
  </si>
  <si>
    <t>נובמבר</t>
  </si>
  <si>
    <t>דצמבר</t>
  </si>
  <si>
    <t>הכנסה</t>
  </si>
  <si>
    <t>הכנסה שנתית</t>
  </si>
  <si>
    <t>עיגול ההכנסה השנתית</t>
  </si>
  <si>
    <t>חודש טוב/לא טוב לחברה</t>
  </si>
  <si>
    <t>טוב</t>
  </si>
  <si>
    <t>לא טוב</t>
  </si>
  <si>
    <t>לא חסר</t>
  </si>
  <si>
    <t>כמה חסר לחברה</t>
  </si>
  <si>
    <t>חודשיים יעילים/לא יעילים</t>
  </si>
  <si>
    <t>יעילים</t>
  </si>
  <si>
    <t>לא יעילים</t>
  </si>
  <si>
    <t>הכנסה מעודכנת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</si>
</sst>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color rgb="FF0070C0"/>
      <name val="Arial"/>
      <family val="2"/>
      <scheme val="minor"/>
    </font>
    <font>
      <b/>
      <sz val="11"/>
      <color rgb="FF00B050"/>
      <name val="Arial"/>
      <family val="2"/>
      <scheme val="minor"/>
    </font>
    <font>
      <sz val="11"/>
      <color rgb="FF7030A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5BFF0-87FD-4E19-9BA9-08F96BBAC586}">
  <dimension ref="A3:N31"/>
  <sheetViews>
    <sheetView rightToLeft="1" tabSelected="1" zoomScale="120" zoomScaleNormal="120" workbookViewId="0">
      <selection activeCell="G16" sqref="G16"/>
    </sheetView>
  </sheetViews>
  <sheetFormatPr defaultRowHeight="13.8" x14ac:dyDescent="0.25"/>
  <cols>
    <col min="1" max="1" width="19.19921875" customWidth="1"/>
    <col min="7" max="7" width="9.5" customWidth="1"/>
  </cols>
  <sheetData>
    <row r="3" spans="1:13" x14ac:dyDescent="0.25">
      <c r="H3" s="1" t="s">
        <v>0</v>
      </c>
    </row>
    <row r="5" spans="1:13" x14ac:dyDescent="0.25">
      <c r="G5" t="s">
        <v>3</v>
      </c>
      <c r="I5" t="s">
        <v>2</v>
      </c>
      <c r="K5" t="s">
        <v>1</v>
      </c>
    </row>
    <row r="7" spans="1:13" x14ac:dyDescent="0.25">
      <c r="B7" s="3" t="s">
        <v>7</v>
      </c>
      <c r="C7" s="3" t="s">
        <v>8</v>
      </c>
      <c r="D7" s="3" t="s">
        <v>9</v>
      </c>
      <c r="E7" s="3" t="s">
        <v>10</v>
      </c>
      <c r="F7" s="3" t="s">
        <v>11</v>
      </c>
      <c r="G7" s="3" t="s">
        <v>12</v>
      </c>
      <c r="H7" s="3" t="s">
        <v>13</v>
      </c>
      <c r="I7" s="3" t="s">
        <v>14</v>
      </c>
      <c r="J7" s="3" t="s">
        <v>15</v>
      </c>
      <c r="K7" s="3" t="s">
        <v>16</v>
      </c>
      <c r="L7" s="3" t="s">
        <v>17</v>
      </c>
      <c r="M7" s="3" t="s">
        <v>18</v>
      </c>
    </row>
    <row r="8" spans="1:13" x14ac:dyDescent="0.25">
      <c r="A8" s="2" t="s">
        <v>4</v>
      </c>
      <c r="B8">
        <v>2</v>
      </c>
      <c r="C8">
        <v>1</v>
      </c>
      <c r="D8">
        <v>2</v>
      </c>
      <c r="E8">
        <v>3</v>
      </c>
      <c r="F8">
        <v>3</v>
      </c>
      <c r="G8">
        <v>4</v>
      </c>
      <c r="H8">
        <v>3</v>
      </c>
      <c r="I8">
        <v>4</v>
      </c>
      <c r="J8">
        <v>4</v>
      </c>
      <c r="K8">
        <v>3</v>
      </c>
      <c r="L8">
        <v>2</v>
      </c>
      <c r="M8">
        <v>0</v>
      </c>
    </row>
    <row r="9" spans="1:13" x14ac:dyDescent="0.25">
      <c r="A9" s="2" t="s">
        <v>5</v>
      </c>
      <c r="B9">
        <v>1</v>
      </c>
      <c r="C9">
        <v>2</v>
      </c>
      <c r="D9">
        <v>2</v>
      </c>
      <c r="E9">
        <v>2</v>
      </c>
      <c r="F9">
        <v>3</v>
      </c>
      <c r="G9">
        <v>2</v>
      </c>
      <c r="H9">
        <v>4</v>
      </c>
      <c r="I9">
        <v>4</v>
      </c>
      <c r="J9">
        <v>3</v>
      </c>
      <c r="K9">
        <v>2</v>
      </c>
      <c r="L9">
        <v>1</v>
      </c>
      <c r="M9">
        <v>0</v>
      </c>
    </row>
    <row r="10" spans="1:13" x14ac:dyDescent="0.25">
      <c r="A10" s="2" t="s">
        <v>6</v>
      </c>
      <c r="B10">
        <v>0</v>
      </c>
      <c r="C10">
        <v>0</v>
      </c>
      <c r="D10">
        <v>1</v>
      </c>
      <c r="E10">
        <v>2</v>
      </c>
      <c r="F10">
        <v>2</v>
      </c>
      <c r="G10">
        <v>3</v>
      </c>
      <c r="H10">
        <v>3</v>
      </c>
      <c r="I10">
        <v>3</v>
      </c>
      <c r="J10">
        <v>3</v>
      </c>
      <c r="K10">
        <v>2</v>
      </c>
      <c r="L10">
        <v>2</v>
      </c>
      <c r="M10">
        <v>0</v>
      </c>
    </row>
    <row r="11" spans="1:13" x14ac:dyDescent="0.25">
      <c r="A11" s="6" t="s">
        <v>19</v>
      </c>
      <c r="B11">
        <f>30*B8+18*B9+10000*B10</f>
        <v>78</v>
      </c>
      <c r="C11">
        <f>30*C8+18*C9+10000*C10</f>
        <v>66</v>
      </c>
      <c r="D11">
        <f>30*D8+18*D9+10000*D10</f>
        <v>10096</v>
      </c>
      <c r="E11">
        <f>30*E8+18*E9+10000*E10</f>
        <v>20126</v>
      </c>
      <c r="F11">
        <f t="shared" ref="C11:M11" si="0">30*F8+18*F9+10000*F10</f>
        <v>20144</v>
      </c>
      <c r="G11">
        <f t="shared" si="0"/>
        <v>30156</v>
      </c>
      <c r="H11">
        <f t="shared" si="0"/>
        <v>30162</v>
      </c>
      <c r="I11">
        <f t="shared" si="0"/>
        <v>30192</v>
      </c>
      <c r="J11">
        <f t="shared" si="0"/>
        <v>30174</v>
      </c>
      <c r="K11">
        <f t="shared" si="0"/>
        <v>20126</v>
      </c>
      <c r="L11">
        <f t="shared" si="0"/>
        <v>20078</v>
      </c>
      <c r="M11">
        <f t="shared" si="0"/>
        <v>0</v>
      </c>
    </row>
    <row r="12" spans="1:13" x14ac:dyDescent="0.25">
      <c r="A12" s="7" t="s">
        <v>22</v>
      </c>
      <c r="B12" t="str">
        <f>IF(B11&gt;=$H$20,$H$21,$H$22)</f>
        <v>לא טוב</v>
      </c>
      <c r="C12" t="str">
        <f t="shared" ref="C12:M12" si="1">IF(C11&gt;=$H$20,$H$2,$H$22)</f>
        <v>לא טוב</v>
      </c>
      <c r="D12" t="str">
        <f t="shared" si="1"/>
        <v>לא טוב</v>
      </c>
      <c r="E12" t="str">
        <f>IF(E11&gt;=$H$20,$H$21,$H$22)</f>
        <v>טוב</v>
      </c>
      <c r="F12" t="str">
        <f>IF(F11&gt;=$H$20,$H$21,$H$22)</f>
        <v>טוב</v>
      </c>
      <c r="G12" t="str">
        <f t="shared" ref="F12:L12" si="2">IF(G11&gt;=$H$20,$H$21,$H$22)</f>
        <v>טוב</v>
      </c>
      <c r="H12" t="str">
        <f t="shared" si="2"/>
        <v>טוב</v>
      </c>
      <c r="I12" t="str">
        <f t="shared" si="2"/>
        <v>טוב</v>
      </c>
      <c r="J12" t="str">
        <f t="shared" si="2"/>
        <v>טוב</v>
      </c>
      <c r="K12" t="str">
        <f t="shared" si="2"/>
        <v>טוב</v>
      </c>
      <c r="L12" t="str">
        <f t="shared" si="2"/>
        <v>טוב</v>
      </c>
      <c r="M12" t="str">
        <f t="shared" si="1"/>
        <v>לא טוב</v>
      </c>
    </row>
    <row r="13" spans="1:13" x14ac:dyDescent="0.25">
      <c r="A13" s="7" t="s">
        <v>26</v>
      </c>
      <c r="B13">
        <f>IF(B11&lt;=$H$24,$H$24-B11,$H$25)</f>
        <v>39922</v>
      </c>
      <c r="C13">
        <f t="shared" ref="C13:M13" si="3">IF(C11&lt;=$H$24,$H$24-C11,$H$25)</f>
        <v>39934</v>
      </c>
      <c r="D13">
        <f t="shared" si="3"/>
        <v>29904</v>
      </c>
      <c r="E13">
        <f t="shared" si="3"/>
        <v>19874</v>
      </c>
      <c r="F13">
        <f t="shared" si="3"/>
        <v>19856</v>
      </c>
      <c r="G13">
        <f t="shared" si="3"/>
        <v>9844</v>
      </c>
      <c r="H13">
        <f t="shared" si="3"/>
        <v>9838</v>
      </c>
      <c r="I13">
        <f t="shared" si="3"/>
        <v>9808</v>
      </c>
      <c r="J13">
        <f t="shared" si="3"/>
        <v>9826</v>
      </c>
      <c r="K13">
        <f t="shared" si="3"/>
        <v>19874</v>
      </c>
      <c r="L13">
        <f t="shared" si="3"/>
        <v>19922</v>
      </c>
      <c r="M13">
        <f t="shared" si="3"/>
        <v>40000</v>
      </c>
    </row>
    <row r="14" spans="1:13" x14ac:dyDescent="0.25">
      <c r="A14" s="7" t="s">
        <v>27</v>
      </c>
      <c r="B14" s="5" t="str">
        <f>IF(AVERAGE(B11:C11)&gt;$H$27,$H$28,$H$29)</f>
        <v>לא יעילים</v>
      </c>
      <c r="C14" s="5"/>
      <c r="D14" s="5" t="str">
        <f t="shared" ref="D14:M14" si="4">IF(AVERAGE(D11:E11)&gt;$H$27,$H$28,$H$29)</f>
        <v>יעילים</v>
      </c>
      <c r="E14" s="5"/>
      <c r="F14" s="5" t="str">
        <f t="shared" ref="F14:M14" si="5">IF(AVERAGE(F11:G11)&gt;$H$27,$H$28,$H$29)</f>
        <v>יעילים</v>
      </c>
      <c r="G14" s="5"/>
      <c r="H14" s="5" t="str">
        <f t="shared" ref="H14:M14" si="6">IF(AVERAGE(H11:I11)&gt;$H$27,$H$28,$H$29)</f>
        <v>יעילים</v>
      </c>
      <c r="I14" s="5"/>
      <c r="J14" s="5" t="str">
        <f t="shared" ref="J14:M14" si="7">IF(AVERAGE(J11:K11)&gt;$H$27,$H$28,$H$29)</f>
        <v>יעילים</v>
      </c>
      <c r="K14" s="5"/>
      <c r="L14" s="5" t="str">
        <f t="shared" ref="L14:M14" si="8">IF(AVERAGE(L11:M11)&gt;$H$27,$H$28,$H$29)</f>
        <v>יעילים</v>
      </c>
      <c r="M14" s="5"/>
    </row>
    <row r="15" spans="1:13" x14ac:dyDescent="0.25">
      <c r="A15" s="7" t="s">
        <v>30</v>
      </c>
      <c r="B15">
        <f>IF(B10=$H$31,B11-10000*2,B11)</f>
        <v>78</v>
      </c>
      <c r="C15">
        <f t="shared" ref="C15:M15" si="9">IF(C10=$H$31,C11-10000*2,C11)</f>
        <v>66</v>
      </c>
      <c r="D15">
        <f t="shared" si="9"/>
        <v>10096</v>
      </c>
      <c r="E15">
        <f t="shared" si="9"/>
        <v>20126</v>
      </c>
      <c r="F15">
        <f t="shared" si="9"/>
        <v>20144</v>
      </c>
      <c r="G15">
        <f t="shared" si="9"/>
        <v>10156</v>
      </c>
      <c r="H15">
        <f t="shared" si="9"/>
        <v>10162</v>
      </c>
      <c r="I15">
        <f t="shared" si="9"/>
        <v>10192</v>
      </c>
      <c r="J15">
        <f t="shared" si="9"/>
        <v>10174</v>
      </c>
      <c r="K15">
        <f t="shared" si="9"/>
        <v>20126</v>
      </c>
      <c r="L15">
        <f t="shared" si="9"/>
        <v>20078</v>
      </c>
      <c r="M15">
        <f t="shared" si="9"/>
        <v>0</v>
      </c>
    </row>
    <row r="16" spans="1:13" ht="16.2" customHeight="1" x14ac:dyDescent="0.25">
      <c r="G16">
        <f>INDEX(G8:G15,8)</f>
        <v>10156</v>
      </c>
    </row>
    <row r="18" spans="8:14" x14ac:dyDescent="0.25">
      <c r="N18" s="4" t="s">
        <v>20</v>
      </c>
    </row>
    <row r="19" spans="8:14" x14ac:dyDescent="0.25">
      <c r="N19" s="4">
        <f>SUM(B11:M11)</f>
        <v>211398</v>
      </c>
    </row>
    <row r="20" spans="8:14" x14ac:dyDescent="0.25">
      <c r="H20">
        <v>15000</v>
      </c>
    </row>
    <row r="21" spans="8:14" x14ac:dyDescent="0.25">
      <c r="H21" t="s">
        <v>23</v>
      </c>
    </row>
    <row r="22" spans="8:14" x14ac:dyDescent="0.25">
      <c r="H22" t="s">
        <v>24</v>
      </c>
      <c r="N22" s="4" t="s">
        <v>21</v>
      </c>
    </row>
    <row r="23" spans="8:14" x14ac:dyDescent="0.25">
      <c r="N23" s="4">
        <f>ROUND(N19,-2)</f>
        <v>211400</v>
      </c>
    </row>
    <row r="24" spans="8:14" x14ac:dyDescent="0.25">
      <c r="H24">
        <v>40000</v>
      </c>
    </row>
    <row r="25" spans="8:14" x14ac:dyDescent="0.25">
      <c r="H25" t="s">
        <v>25</v>
      </c>
    </row>
    <row r="27" spans="8:14" x14ac:dyDescent="0.25">
      <c r="H27">
        <v>10000</v>
      </c>
    </row>
    <row r="28" spans="8:14" x14ac:dyDescent="0.25">
      <c r="H28" t="s">
        <v>28</v>
      </c>
    </row>
    <row r="29" spans="8:14" x14ac:dyDescent="0.25">
      <c r="H29" t="s">
        <v>29</v>
      </c>
    </row>
    <row r="31" spans="8:14" x14ac:dyDescent="0.25">
      <c r="H31">
        <v>3</v>
      </c>
    </row>
  </sheetData>
  <mergeCells count="6">
    <mergeCell ref="B14:C14"/>
    <mergeCell ref="D14:E14"/>
    <mergeCell ref="F14:G14"/>
    <mergeCell ref="H14:I14"/>
    <mergeCell ref="J14:K14"/>
    <mergeCell ref="L14:M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מייקי סבג</dc:creator>
  <cp:lastModifiedBy>מייקי סבג</cp:lastModifiedBy>
  <dcterms:created xsi:type="dcterms:W3CDTF">2026-07-13T08:48:22Z</dcterms:created>
  <dcterms:modified xsi:type="dcterms:W3CDTF">2026-07-14T12:29:35Z</dcterms:modified>
</cp:coreProperties>
</file>