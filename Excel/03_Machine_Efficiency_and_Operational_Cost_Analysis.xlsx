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ba\OneDrive\Desktop\מייקי עבודות של כל הקורסים\הכשרה\"/>
    </mc:Choice>
  </mc:AlternateContent>
  <xr:revisionPtr revIDLastSave="0" documentId="13_ncr:1_{244C75BC-C780-48CD-B120-72B8572F4B63}" xr6:coauthVersionLast="47" xr6:coauthVersionMax="47" xr10:uidLastSave="{00000000-0000-0000-0000-000000000000}"/>
  <bookViews>
    <workbookView xWindow="-108" yWindow="-108" windowWidth="23256" windowHeight="13896" xr2:uid="{1068E14B-CC57-42F9-A6FA-F9E3A41E617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D39" i="1"/>
  <c r="M29" i="1"/>
  <c r="L29" i="1"/>
  <c r="K29" i="1"/>
  <c r="K31" i="1" s="1"/>
  <c r="J29" i="1"/>
  <c r="I29" i="1"/>
  <c r="H29" i="1"/>
  <c r="G29" i="1"/>
  <c r="F29" i="1"/>
  <c r="E29" i="1"/>
  <c r="D29" i="1"/>
  <c r="C29" i="1"/>
  <c r="C31" i="1"/>
  <c r="B29" i="1"/>
  <c r="D31" i="1"/>
  <c r="E31" i="1"/>
  <c r="F31" i="1"/>
  <c r="G31" i="1"/>
  <c r="H31" i="1"/>
  <c r="I31" i="1"/>
  <c r="J31" i="1"/>
  <c r="L31" i="1"/>
  <c r="M31" i="1"/>
  <c r="B31" i="1"/>
  <c r="D5" i="1"/>
  <c r="E5" i="1"/>
  <c r="H5" i="1"/>
  <c r="I5" i="1"/>
  <c r="J5" i="1"/>
  <c r="C4" i="1"/>
  <c r="C5" i="1" s="1"/>
  <c r="D4" i="1"/>
  <c r="E4" i="1"/>
  <c r="F4" i="1"/>
  <c r="F5" i="1" s="1"/>
  <c r="G4" i="1"/>
  <c r="G5" i="1" s="1"/>
  <c r="H4" i="1"/>
  <c r="I4" i="1"/>
  <c r="J4" i="1"/>
  <c r="K4" i="1"/>
  <c r="K5" i="1" s="1"/>
  <c r="B4" i="1"/>
  <c r="B5" i="1" s="1"/>
</calcChain>
</file>

<file path=xl/sharedStrings.xml><?xml version="1.0" encoding="utf-8"?>
<sst xmlns="http://schemas.openxmlformats.org/spreadsheetml/2006/main" count="51" uniqueCount="46">
  <si>
    <t>מכונה 1</t>
  </si>
  <si>
    <t>מכונה 2</t>
  </si>
  <si>
    <t>מכונה 3</t>
  </si>
  <si>
    <t>מכונה 4</t>
  </si>
  <si>
    <t>מכונה 5</t>
  </si>
  <si>
    <t>מכונה 6</t>
  </si>
  <si>
    <t>מכונה 7</t>
  </si>
  <si>
    <t>מכונה 8</t>
  </si>
  <si>
    <t>מכונה 9</t>
  </si>
  <si>
    <t>מכונה 10</t>
  </si>
  <si>
    <t>ייצור מקסימלי</t>
  </si>
  <si>
    <t>כמות הייצור בפועל</t>
  </si>
  <si>
    <t>אחוז יעילות הייצור</t>
  </si>
  <si>
    <t>יעיל/לא יעיל</t>
  </si>
  <si>
    <t>יעיל</t>
  </si>
  <si>
    <t>לא יעיל</t>
  </si>
  <si>
    <t>כמות צריכת החשמל</t>
  </si>
  <si>
    <t>כמות מכונות</t>
  </si>
  <si>
    <t>שעות נוספות</t>
  </si>
  <si>
    <t>x</t>
  </si>
  <si>
    <t>y</t>
  </si>
  <si>
    <t>z</t>
  </si>
  <si>
    <t>a</t>
  </si>
  <si>
    <t xml:space="preserve">F(x,y,z,a) = 40x + 60y + 75z + 25a 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</si>
  <si>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</si>
  <si>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</si>
  <si>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</si>
  <si>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</si>
  <si>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</si>
  <si>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</si>
  <si>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</si>
  <si>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</si>
  <si>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</si>
  <si>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</si>
  <si>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</si>
  <si>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</si>
  <si>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חודשי השנה</t>
  </si>
  <si>
    <t>כמות שעות לכל העובדים</t>
  </si>
  <si>
    <t>קילוגרם אוכל לעובדים</t>
  </si>
  <si>
    <t>סך כל עלויות</t>
  </si>
  <si>
    <t>החברה מבזבזת יותר מדי</t>
  </si>
  <si>
    <t>החברה לא מבזבזת יותר מדי</t>
  </si>
  <si>
    <t>מצב החברה</t>
  </si>
  <si>
    <t>מצוין</t>
  </si>
  <si>
    <t>לא מצוין</t>
  </si>
  <si>
    <t>החברה מבזבזת יותר מדי?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</si>
</sst>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[$₪-40D]\ * #,##0_ ;_ [$₪-40D]\ * \-#,##0_ ;_ [$₪-40D]\ * &quot;-&quot;??_ ;_ @_ "/>
  </numFmts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0070C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167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91BE-6178-439E-A12D-4F1409A7911F}">
  <dimension ref="A1:M42"/>
  <sheetViews>
    <sheetView rightToLeft="1" tabSelected="1" topLeftCell="B1" workbookViewId="0">
      <selection activeCell="E11" sqref="E11"/>
    </sheetView>
  </sheetViews>
  <sheetFormatPr defaultRowHeight="13.8" x14ac:dyDescent="0.25"/>
  <cols>
    <col min="1" max="1" width="15.59765625" customWidth="1"/>
    <col min="2" max="2" width="13.3984375" customWidth="1"/>
    <col min="3" max="3" width="17" customWidth="1"/>
    <col min="4" max="4" width="19.19921875" customWidth="1"/>
    <col min="5" max="5" width="13" customWidth="1"/>
    <col min="6" max="6" width="13.8984375" customWidth="1"/>
    <col min="7" max="7" width="20.8984375" customWidth="1"/>
    <col min="8" max="13" width="13.09765625" bestFit="1" customWidth="1"/>
  </cols>
  <sheetData>
    <row r="1" spans="1:13" x14ac:dyDescent="0.25">
      <c r="A1" s="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3" x14ac:dyDescent="0.25">
      <c r="A2" s="1" t="s">
        <v>10</v>
      </c>
      <c r="B2">
        <v>1000</v>
      </c>
      <c r="C2">
        <v>800</v>
      </c>
      <c r="D2">
        <v>960</v>
      </c>
      <c r="E2">
        <v>1100</v>
      </c>
      <c r="F2">
        <v>1200</v>
      </c>
      <c r="G2">
        <v>1500</v>
      </c>
      <c r="H2">
        <v>1250</v>
      </c>
      <c r="I2">
        <v>850</v>
      </c>
      <c r="J2">
        <v>1920</v>
      </c>
      <c r="K2">
        <v>1600</v>
      </c>
    </row>
    <row r="3" spans="1:13" x14ac:dyDescent="0.25">
      <c r="A3" s="1" t="s">
        <v>11</v>
      </c>
      <c r="B3">
        <v>750</v>
      </c>
      <c r="C3">
        <v>500</v>
      </c>
      <c r="D3">
        <v>800</v>
      </c>
      <c r="E3">
        <v>625</v>
      </c>
      <c r="F3">
        <v>1000</v>
      </c>
      <c r="G3">
        <v>1125</v>
      </c>
      <c r="H3">
        <v>600</v>
      </c>
      <c r="I3">
        <v>820</v>
      </c>
      <c r="J3">
        <v>1600</v>
      </c>
      <c r="K3">
        <v>1580</v>
      </c>
    </row>
    <row r="4" spans="1:13" x14ac:dyDescent="0.25">
      <c r="A4" s="1" t="s">
        <v>12</v>
      </c>
      <c r="B4">
        <f>(B3/B2)*100</f>
        <v>75</v>
      </c>
      <c r="C4">
        <f t="shared" ref="C4:K4" si="0">(C3/C2)*100</f>
        <v>62.5</v>
      </c>
      <c r="D4">
        <f t="shared" si="0"/>
        <v>83.333333333333343</v>
      </c>
      <c r="E4">
        <f t="shared" si="0"/>
        <v>56.81818181818182</v>
      </c>
      <c r="F4">
        <f t="shared" si="0"/>
        <v>83.333333333333343</v>
      </c>
      <c r="G4">
        <f t="shared" si="0"/>
        <v>75</v>
      </c>
      <c r="H4">
        <f t="shared" si="0"/>
        <v>48</v>
      </c>
      <c r="I4">
        <f t="shared" si="0"/>
        <v>96.470588235294116</v>
      </c>
      <c r="J4">
        <f t="shared" si="0"/>
        <v>83.333333333333343</v>
      </c>
      <c r="K4">
        <f t="shared" si="0"/>
        <v>98.75</v>
      </c>
    </row>
    <row r="5" spans="1:13" x14ac:dyDescent="0.25">
      <c r="A5" s="1" t="s">
        <v>13</v>
      </c>
      <c r="B5" t="str">
        <f>IF(B4&gt;=$M$8,$M$9,$M$10)</f>
        <v>לא יעיל</v>
      </c>
      <c r="C5" t="str">
        <f>IF(C4&gt;=$M$8,$M$9,$M$10)</f>
        <v>לא יעיל</v>
      </c>
      <c r="D5" t="str">
        <f>IF(D4&gt;=$M$8,$M$9,$M$10)</f>
        <v>יעיל</v>
      </c>
      <c r="E5" t="str">
        <f>IF(E4&gt;=$M$8,$M$9,$M$10)</f>
        <v>לא יעיל</v>
      </c>
      <c r="F5" t="str">
        <f>IF(F4&gt;=$M$8,$M$9,$M$10)</f>
        <v>יעיל</v>
      </c>
      <c r="G5" t="str">
        <f>IF(G4&gt;=$M$8,$M$9,$M$10)</f>
        <v>לא יעיל</v>
      </c>
      <c r="H5" t="str">
        <f>IF(H4&gt;=$M$8,$M$9,$M$10)</f>
        <v>לא יעיל</v>
      </c>
      <c r="I5" t="str">
        <f>IF(I4&gt;=$M$8,$M$9,$M$10)</f>
        <v>יעיל</v>
      </c>
      <c r="J5" t="str">
        <f>IF(J4&gt;=$M$8,$M$9,$M$10)</f>
        <v>יעיל</v>
      </c>
      <c r="K5" t="str">
        <f>IF(K4&gt;=$M$8,$M$9,$M$10)</f>
        <v>יעיל</v>
      </c>
    </row>
    <row r="6" spans="1:13" x14ac:dyDescent="0.25">
      <c r="A6" s="1" t="s">
        <v>16</v>
      </c>
      <c r="B6">
        <v>4000</v>
      </c>
      <c r="C6">
        <v>3000</v>
      </c>
      <c r="D6">
        <v>4375</v>
      </c>
      <c r="E6">
        <v>1800</v>
      </c>
      <c r="F6">
        <v>5120</v>
      </c>
      <c r="G6">
        <v>5000</v>
      </c>
      <c r="H6">
        <v>2000</v>
      </c>
      <c r="I6">
        <v>8500</v>
      </c>
      <c r="J6">
        <v>9120</v>
      </c>
      <c r="K6">
        <v>8800</v>
      </c>
    </row>
    <row r="8" spans="1:13" x14ac:dyDescent="0.25">
      <c r="M8">
        <v>80</v>
      </c>
    </row>
    <row r="9" spans="1:13" x14ac:dyDescent="0.25">
      <c r="M9" t="s">
        <v>14</v>
      </c>
    </row>
    <row r="10" spans="1:13" x14ac:dyDescent="0.25">
      <c r="E10" s="9" t="s">
        <v>42</v>
      </c>
      <c r="M10" t="s">
        <v>15</v>
      </c>
    </row>
    <row r="11" spans="1:13" x14ac:dyDescent="0.25">
      <c r="E11" s="9" t="str">
        <f>IF(AND(AVERAGE(B4:K4)&gt;$M$8,MIN(B6:K6)&lt;$M$11),$M$12,$M$13)</f>
        <v>לא מצוין</v>
      </c>
      <c r="M11">
        <v>3000</v>
      </c>
    </row>
    <row r="12" spans="1:13" x14ac:dyDescent="0.25">
      <c r="M12" t="s">
        <v>43</v>
      </c>
    </row>
    <row r="13" spans="1:13" x14ac:dyDescent="0.25">
      <c r="M13" t="s">
        <v>44</v>
      </c>
    </row>
    <row r="20" spans="1:13" x14ac:dyDescent="0.25">
      <c r="B20" s="2" t="s">
        <v>17</v>
      </c>
      <c r="C20" s="2" t="s">
        <v>38</v>
      </c>
      <c r="D20" s="2" t="s">
        <v>37</v>
      </c>
      <c r="E20" s="6" t="s">
        <v>18</v>
      </c>
      <c r="I20" t="s">
        <v>23</v>
      </c>
    </row>
    <row r="21" spans="1:13" x14ac:dyDescent="0.25">
      <c r="B21" s="3" t="s">
        <v>19</v>
      </c>
      <c r="C21" s="4" t="s">
        <v>20</v>
      </c>
      <c r="D21" s="4" t="s">
        <v>21</v>
      </c>
      <c r="E21" s="4" t="s">
        <v>22</v>
      </c>
    </row>
    <row r="26" spans="1:13" x14ac:dyDescent="0.25">
      <c r="A26" s="5" t="s">
        <v>36</v>
      </c>
      <c r="B26" s="7" t="s">
        <v>24</v>
      </c>
      <c r="C26" s="7" t="s">
        <v>25</v>
      </c>
      <c r="D26" s="7" t="s">
        <v>26</v>
      </c>
      <c r="E26" s="7" t="s">
        <v>27</v>
      </c>
      <c r="F26" s="7" t="s">
        <v>28</v>
      </c>
      <c r="G26" s="7" t="s">
        <v>29</v>
      </c>
      <c r="H26" s="7" t="s">
        <v>30</v>
      </c>
      <c r="I26" s="7" t="s">
        <v>31</v>
      </c>
      <c r="J26" s="7" t="s">
        <v>32</v>
      </c>
      <c r="K26" s="7" t="s">
        <v>33</v>
      </c>
      <c r="L26" s="7" t="s">
        <v>34</v>
      </c>
      <c r="M26" s="7" t="s">
        <v>35</v>
      </c>
    </row>
    <row r="27" spans="1:13" x14ac:dyDescent="0.25">
      <c r="A27" s="5" t="s">
        <v>19</v>
      </c>
      <c r="B27">
        <v>3</v>
      </c>
      <c r="C27">
        <v>4</v>
      </c>
      <c r="D27">
        <v>7</v>
      </c>
      <c r="E27">
        <v>5</v>
      </c>
      <c r="F27">
        <v>7</v>
      </c>
      <c r="G27">
        <v>8</v>
      </c>
      <c r="H27">
        <v>10</v>
      </c>
      <c r="I27">
        <v>10</v>
      </c>
      <c r="J27">
        <v>9</v>
      </c>
      <c r="K27">
        <v>7</v>
      </c>
      <c r="L27">
        <v>8</v>
      </c>
      <c r="M27">
        <v>2</v>
      </c>
    </row>
    <row r="28" spans="1:13" x14ac:dyDescent="0.25">
      <c r="A28" s="5" t="s">
        <v>20</v>
      </c>
      <c r="B28">
        <v>600</v>
      </c>
      <c r="C28">
        <v>600</v>
      </c>
      <c r="D28">
        <v>1000</v>
      </c>
      <c r="E28">
        <v>800</v>
      </c>
      <c r="F28">
        <v>900</v>
      </c>
      <c r="G28">
        <v>1100</v>
      </c>
      <c r="H28">
        <v>1400</v>
      </c>
      <c r="I28">
        <v>1200</v>
      </c>
      <c r="J28">
        <v>1100</v>
      </c>
      <c r="K28">
        <v>900</v>
      </c>
      <c r="L28">
        <v>700</v>
      </c>
      <c r="M28">
        <v>500</v>
      </c>
    </row>
    <row r="29" spans="1:13" x14ac:dyDescent="0.25">
      <c r="A29" s="5" t="s">
        <v>21</v>
      </c>
      <c r="B29">
        <f>6300*$G$39</f>
        <v>31500</v>
      </c>
      <c r="C29">
        <f>6600*G39</f>
        <v>33000</v>
      </c>
      <c r="D29">
        <f>7200*G39</f>
        <v>36000</v>
      </c>
      <c r="E29">
        <f>6900*G39</f>
        <v>34500</v>
      </c>
      <c r="F29">
        <f>7000*G39</f>
        <v>35000</v>
      </c>
      <c r="G29">
        <f>7500*G39</f>
        <v>37500</v>
      </c>
      <c r="H29">
        <f>8000*G39</f>
        <v>40000</v>
      </c>
      <c r="I29">
        <f>8200*G39</f>
        <v>41000</v>
      </c>
      <c r="J29">
        <f>7800*G39</f>
        <v>39000</v>
      </c>
      <c r="K29">
        <f>6700*G39</f>
        <v>33500</v>
      </c>
      <c r="L29">
        <f>6000*G39</f>
        <v>30000</v>
      </c>
      <c r="M29">
        <f>5000*G39</f>
        <v>25000</v>
      </c>
    </row>
    <row r="30" spans="1:13" x14ac:dyDescent="0.25">
      <c r="A30" s="5" t="s">
        <v>22</v>
      </c>
      <c r="B30">
        <v>240</v>
      </c>
      <c r="C30">
        <v>220</v>
      </c>
      <c r="D30">
        <v>250</v>
      </c>
      <c r="E30">
        <v>200</v>
      </c>
      <c r="F30">
        <v>300</v>
      </c>
      <c r="G30">
        <v>320</v>
      </c>
      <c r="H30">
        <v>400</v>
      </c>
      <c r="I30">
        <v>384</v>
      </c>
      <c r="J30">
        <v>390</v>
      </c>
      <c r="K30">
        <v>180</v>
      </c>
      <c r="L30">
        <v>250</v>
      </c>
      <c r="M30">
        <v>100</v>
      </c>
    </row>
    <row r="31" spans="1:13" x14ac:dyDescent="0.25">
      <c r="A31" s="5" t="s">
        <v>39</v>
      </c>
      <c r="B31" s="8">
        <f>40*B27+60*B28+75*B29+25*B30</f>
        <v>2404620</v>
      </c>
      <c r="C31" s="8">
        <f t="shared" ref="C31:M31" si="1">40*C27+60*C28+75*C29+25*C30</f>
        <v>2516660</v>
      </c>
      <c r="D31" s="8">
        <f t="shared" si="1"/>
        <v>2766530</v>
      </c>
      <c r="E31" s="8">
        <f t="shared" si="1"/>
        <v>2640700</v>
      </c>
      <c r="F31" s="8">
        <f t="shared" si="1"/>
        <v>2686780</v>
      </c>
      <c r="G31" s="8">
        <f t="shared" si="1"/>
        <v>2886820</v>
      </c>
      <c r="H31" s="8">
        <f t="shared" si="1"/>
        <v>3094400</v>
      </c>
      <c r="I31" s="8">
        <f t="shared" si="1"/>
        <v>3157000</v>
      </c>
      <c r="J31" s="8">
        <f t="shared" si="1"/>
        <v>3001110</v>
      </c>
      <c r="K31" s="8">
        <f t="shared" si="1"/>
        <v>2571280</v>
      </c>
      <c r="L31" s="8">
        <f t="shared" si="1"/>
        <v>2298570</v>
      </c>
      <c r="M31" s="8">
        <f t="shared" si="1"/>
        <v>1907580</v>
      </c>
    </row>
    <row r="38" spans="4:7" x14ac:dyDescent="0.25">
      <c r="D38" s="9" t="s">
        <v>45</v>
      </c>
    </row>
    <row r="39" spans="4:7" x14ac:dyDescent="0.25">
      <c r="D39" s="9" t="str">
        <f>IF(MAX(B31:M31)&gt;$G$40,$G$41,$G$42)</f>
        <v>החברה מבזבזת יותר מדי</v>
      </c>
      <c r="G39">
        <v>5</v>
      </c>
    </row>
    <row r="40" spans="4:7" x14ac:dyDescent="0.25">
      <c r="G40">
        <v>2500000</v>
      </c>
    </row>
    <row r="41" spans="4:7" x14ac:dyDescent="0.25">
      <c r="G41" t="s">
        <v>40</v>
      </c>
    </row>
    <row r="42" spans="4:7" x14ac:dyDescent="0.25">
      <c r="G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מייקי סבג</dc:creator>
  <cp:lastModifiedBy>מייקי סבג</cp:lastModifiedBy>
  <dcterms:created xsi:type="dcterms:W3CDTF">2026-07-14T12:29:41Z</dcterms:created>
  <dcterms:modified xsi:type="dcterms:W3CDTF">2026-07-14T14:05:32Z</dcterms:modified>
</cp:coreProperties>
</file>